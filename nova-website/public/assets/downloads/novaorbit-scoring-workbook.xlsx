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f997ca82a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fe3737730a44e89"/>
    <x:sheet xmlns:r="http://schemas.openxmlformats.org/officeDocument/2006/relationships" name="Scorecard" sheetId="2" r:id="Reac18ce69f0e474a"/>
    <x:sheet xmlns:r="http://schemas.openxmlformats.org/officeDocument/2006/relationships" name="Red Gates" sheetId="3" r:id="R8fb5ae8f06034b16"/>
    <x:sheet xmlns:r="http://schemas.openxmlformats.org/officeDocument/2006/relationships" name="Workflow ROI" sheetId="4" r:id="R9655f411ce474b58"/>
    <x:sheet xmlns:r="http://schemas.openxmlformats.org/officeDocument/2006/relationships" name="Action Plan" sheetId="5" r:id="R1c26e777a747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€#,##0"/>
    <x:numFmt numFmtId="201" formatCode="0"/>
    <x:numFmt numFmtId="202" formatCode="0%"/>
    <x:numFmt numFmtId="203" formatCode="#,##0"/>
    <x:numFmt numFmtId="204" formatCode="#,##0.0"/>
    <x:numFmt numFmtId="205" formatCode="0.0"/>
  </x:numFmts>
  <x:fonts count="7">
    <x:font>
      <x:sz val="11"/>
      <x:name val="Carlito"/>
    </x:font>
    <x:font>
      <x:b/>
      <x:sz val="20"/>
      <x:color rgb="FFFFFAF1"/>
      <x:name val="Carlito"/>
    </x:font>
    <x:font>
      <x:sz val="10"/>
      <x:color rgb="FFD8CDBB"/>
      <x:name val="Carlito"/>
    </x:font>
    <x:font>
      <x:b/>
      <x:sz val="11"/>
      <x:color rgb="FF17120E"/>
      <x:name val="Carlito"/>
    </x:font>
    <x:font>
      <x:sz val="10"/>
      <x:color rgb="FF17120E"/>
      <x:name val="Carlito"/>
    </x:font>
    <x:font>
      <x:b/>
      <x:sz val="10"/>
      <x:color rgb="FFFFFAF1"/>
      <x:name val="Carlito"/>
    </x:font>
    <x:font>
      <x:sz val="9"/>
      <x:color rgb="FF776D6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0C09"/>
      </x:patternFill>
    </x:fill>
    <x:fill>
      <x:patternFill patternType="solid">
        <x:fgColor rgb="FF17120E"/>
      </x:patternFill>
    </x:fill>
    <x:fill>
      <x:patternFill patternType="solid">
        <x:fgColor rgb="FFEFE4D2"/>
      </x:patternFill>
    </x:fill>
    <x:fill>
      <x:patternFill patternType="solid">
        <x:fgColor rgb="FFFFFAF1"/>
      </x:patternFill>
    </x:fill>
    <x:fill>
      <x:patternFill patternType="solid">
        <x:fgColor rgb="FFF6EFE3"/>
      </x:patternFill>
    </x:fill>
  </x:fills>
  <x:borders count="2">
    <x:border/>
    <x:border>
      <x:left style="thin">
        <x:color rgb="FFD8CDBB"/>
      </x:left>
      <x:right style="thin">
        <x:color rgb="FFD8CDBB"/>
      </x:right>
      <x:top style="thin">
        <x:color rgb="FFD8CDBB"/>
      </x:top>
      <x:bottom style="thin">
        <x:color rgb="FFD8CDB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202" fontId="4" fillId="5" borderId="1" xfId="0" applyNumberFormat="1" applyFont="1" applyFill="1" applyBorder="1" applyAlignment="1">
      <x:alignment wrapText="1"/>
    </x:xf>
    <x:xf numFmtId="203" fontId="4" fillId="5" borderId="1" xfId="0" applyNumberFormat="1" applyFont="1" applyFill="1" applyBorder="1" applyAlignment="1">
      <x:alignment wrapText="1"/>
    </x:xf>
    <x:xf numFmtId="204" fontId="4" fillId="5" borderId="1" xfId="0" applyNumberFormat="1" applyFont="1" applyFill="1" applyBorder="1" applyAlignment="1">
      <x:alignment wrapText="1"/>
    </x:xf>
    <x:xf numFmtId="205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7120E"/>
      </x:font>
      <x:fill>
        <x:patternFill patternType="solid">
          <x:bgColor rgb="FFF4C27A"/>
        </x:patternFill>
      </x:fill>
    </x:dxf>
    <x:dxf>
      <x:font>
        <x:b/>
        <x:color rgb="FF17120E"/>
      </x:font>
      <x:fill>
        <x:patternFill patternType="solid">
          <x:bgColor rgb="FFEFE4D2"/>
        </x:patternFill>
      </x:fill>
    </x:dxf>
    <x:dxf>
      <x:font>
        <x:b/>
        <x:color rgb="FF17120E"/>
      </x:font>
      <x:fill>
        <x:patternFill patternType="solid">
          <x:bgColor rgb="FFDDEBDD"/>
        </x:patternFill>
      </x:fill>
    </x:dxf>
    <x:dxf>
      <x:font>
        <x:b/>
        <x:color rgb="FF17120E"/>
      </x:font>
      <x:fill>
        <x:patternFill patternType="solid">
          <x:bgColor rgb="FFDDEBDD"/>
        </x:patternFill>
      </x:fill>
    </x:dxf>
    <x:dxf>
      <x:font>
        <x:b/>
        <x:color rgb="FF17120E"/>
      </x:font>
      <x:fill>
        <x:patternFill patternType="solid">
          <x:bgColor rgb="FFF4C27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8e610fb614d0a" /><Relationship Type="http://schemas.openxmlformats.org/officeDocument/2006/relationships/theme" Target="/xl/theme/theme1.xml" Id="R5bfcadf163e84ef8" /><Relationship Type="http://schemas.openxmlformats.org/officeDocument/2006/relationships/sharedStrings" Target="/xl/sharedStrings.xml" Id="Rcd20d53e18b24024" /><Relationship Type="http://schemas.openxmlformats.org/officeDocument/2006/relationships/worksheet" Target="/xl/worksheets/sheet1.xml" Id="Rbfe3737730a44e89" /><Relationship Type="http://schemas.openxmlformats.org/officeDocument/2006/relationships/worksheet" Target="/xl/worksheets/sheet2.xml" Id="Reac18ce69f0e474a" /><Relationship Type="http://schemas.openxmlformats.org/officeDocument/2006/relationships/worksheet" Target="/xl/worksheets/sheet3.xml" Id="R8fb5ae8f06034b16" /><Relationship Type="http://schemas.openxmlformats.org/officeDocument/2006/relationships/worksheet" Target="/xl/worksheets/sheet4.xml" Id="R9655f411ce474b58" /><Relationship Type="http://schemas.openxmlformats.org/officeDocument/2006/relationships/worksheet" Target="/xl/worksheets/sheet5.xml" Id="R1c26e777a74747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6.670000076293945" hidden="0" customWidth="1"/>
    <x:col min="3" max="3" width="21.110000610351562" hidden="0" customWidth="1"/>
    <x:col min="4" max="4" width="21.110000610351562" hidden="0" customWidth="1"/>
    <x:col min="5" max="5" width="23.329999923706055" hidden="0" customWidth="1"/>
    <x:col min="6" max="6" width="23.329999923706055" hidden="0" customWidth="1"/>
  </x:cols>
  <x:sheetData>
    <x:row r="1" ht="24" hidden="0" customHeight="1">
      <x:c r="A1" s="2" t="str">
        <x:v>NovaOrbit Scoring Workbook</x:v>
      </x:c>
    </x:row>
    <x:row r="2" ht="15" hidden="0" customHeight="1">
      <x:c r="A2" s="4" t="str">
        <x:v>Where AI can work, what it should do, and how the business captures impact.</x:v>
      </x:c>
    </x:row>
    <x:row r="3"/>
    <x:row r="4" ht="15" hidden="0" customHeight="1">
      <x:c r="A4" s="6" t="str">
        <x:v>Executive output</x:v>
      </x:c>
      <x:c r="B4" s="6" t="str"/>
      <x:c r="C4" s="6" t="str"/>
      <x:c r="D4" s="6" t="str"/>
      <x:c r="E4" s="6" t="str"/>
      <x:c r="F4" s="6" t="str"/>
    </x:row>
    <x:row r="5" ht="24" hidden="0" customHeight="1">
      <x:c r="A5" s="10" t="str">
        <x:v>Client</x:v>
      </x:c>
      <x:c r="B5" s="10" t="str">
        <x:v>Atlas Components GmbH</x:v>
      </x:c>
      <x:c r="C5" s="10" t="str">
        <x:v>Prepared by</x:v>
      </x:c>
      <x:c r="D5" s="10" t="str">
        <x:v>Nova Nuggets</x:v>
      </x:c>
      <x:c r="E5" s="10" t="str">
        <x:v>Assessment type</x:v>
      </x:c>
      <x:c r="F5" s="10" t="str">
        <x:v>Standard / In-Depth</x:v>
      </x:c>
    </x:row>
    <x:row r="6" ht="15" hidden="0" customHeight="1">
      <x:c r="A6" s="10" t="str">
        <x:v>Overall raw stage</x:v>
      </x:c>
      <x:c r="B6" s="10" t="n">
        <x:f>MEDIAN(C15:C17)</x:f>
        <x:v>3</x:v>
      </x:c>
      <x:c r="C6" s="10" t="str">
        <x:v>Red-gate cap</x:v>
      </x:c>
      <x:c r="D6" s="10" t="n">
        <x:f>MIN('Red Gates'!G6:G10)</x:f>
        <x:v>2</x:v>
      </x:c>
      <x:c r="E6" s="10" t="str">
        <x:v>Final stage</x:v>
      </x:c>
      <x:c r="F6" s="10" t="n">
        <x:f>MIN(B6,D6)</x:f>
        <x:v>2</x:v>
      </x:c>
    </x:row>
    <x:row r="7" ht="15" hidden="0" customHeight="1">
      <x:c r="A7" s="10" t="str">
        <x:v>Overall raw label</x:v>
      </x:c>
      <x:c r="B7" s="10" t="str">
        <x:f>CHOOSE(B6,"Stage 1: Ad Hoc AI","Stage 2: Connected AI","Stage 3: Operational AI","Stage 4: Owned AI Workforce")</x:f>
        <x:v>Stage 3: Operational AI</x:v>
      </x:c>
      <x:c r="C7" s="10" t="str">
        <x:v>Cap label</x:v>
      </x:c>
      <x:c r="D7" s="10" t="str">
        <x:f>CHOOSE(D6,"Stage 1: Ad Hoc AI","Stage 2: Connected AI","Stage 3: Operational AI","Stage 4: Owned AI Workforce")</x:f>
        <x:v>Stage 2: Connected AI</x:v>
      </x:c>
      <x:c r="E7" s="10" t="str">
        <x:v>Final label</x:v>
      </x:c>
      <x:c r="F7" s="10" t="str">
        <x:f>CHOOSE(F6,"Stage 1: Ad Hoc AI","Stage 2: Connected AI","Stage 3: Operational AI","Stage 4: Owned AI Workforce")</x:f>
        <x:v>Stage 2: Connected AI</x:v>
      </x:c>
    </x:row>
    <x:row r="8" ht="24" hidden="0" customHeight="1">
      <x:c r="A8" s="10" t="str">
        <x:v>Recommended first workflow</x:v>
      </x:c>
      <x:c r="B8" s="10" t="str">
        <x:v>RFQ response and quotation preparation</x:v>
      </x:c>
      <x:c r="C8" s="10" t="str">
        <x:v>Deployment direction</x:v>
      </x:c>
      <x:c r="D8" s="10" t="str">
        <x:v>Customer cloud first; NooX if required</x:v>
      </x:c>
      <x:c r="E8" s="10" t="str">
        <x:v>Commercial next step</x:v>
      </x:c>
      <x:c r="F8" s="10" t="str">
        <x:f>IF(F6&lt;=2,"Resolve red gates before implementation",IF(F6=3,"Scope first workflow build","Scale managed AI workforce"))</x:f>
        <x:v>Resolve red gates before implementation</x:v>
      </x:c>
    </x:row>
    <x:row r="9" ht="15" hidden="0" customHeight="1">
      <x:c r="A9" s="10" t="str">
        <x:v>Primary blocker</x:v>
      </x:c>
      <x:c r="B9" s="10" t="str">
        <x:f>'Red Gates'!A6</x:f>
        <x:v>No access, no AI</x:v>
      </x:c>
      <x:c r="C9" s="10" t="str">
        <x:v>Evidence confidence</x:v>
      </x:c>
      <x:c r="D9" s="10" t="str">
        <x:f>IF(AVERAGE(B15:B17)&gt;=3,"Medium-high",IF(AVERAGE(B15:B17)&gt;=2,"Medium","Low"))</x:f>
        <x:v>Medium-high</x:v>
      </x:c>
      <x:c r="E9" s="10" t="str">
        <x:v>Decision</x:v>
      </x:c>
      <x:c r="F9" s="10" t="str">
        <x:f>IF(F6&lt;3,"Do not scale yet",IF(F6=3,"Build controlled v1","Scale with run model"))</x:f>
        <x:v>Do not scale yet</x:v>
      </x:c>
    </x:row>
    <x:row r="10" ht="15" hidden="0" customHeight="1">
      <x:c r="A10" s="10" t="str">
        <x:v>Conservative annual value</x:v>
      </x:c>
      <x:c r="B10" s="11" t="n">
        <x:f>'Workflow ROI'!B27</x:f>
        <x:v>28390.979200000005</x:v>
      </x:c>
      <x:c r="C10" s="11" t="str">
        <x:v>Expected annual value</x:v>
      </x:c>
      <x:c r="D10" s="11" t="n">
        <x:f>'Workflow ROI'!B28</x:f>
        <x:v>40841.67040000001</x:v>
      </x:c>
      <x:c r="E10" s="11" t="str">
        <x:v>Upside annual value</x:v>
      </x:c>
      <x:c r="F10" s="11" t="n">
        <x:f>'Workflow ROI'!B29</x:f>
        <x:v>51052.08800000001</x:v>
      </x:c>
    </x:row>
    <x:row r="11" ht="15" hidden="0" customHeight="1">
      <x:c r="A11" s="10" t="str">
        <x:v>One-line readout</x:v>
      </x:c>
      <x:c r="B11" s="10" t="str">
        <x:f>"Current read: "&amp;F7&amp;". First workflow: "&amp;B8&amp;". Next decision: "&amp;F8&amp;"."</x:f>
        <x:v>Current read: Stage 2: Connected AI. First workflow: RFQ response and quotation preparation. Next decision: Resolve red gates before implementation.</x:v>
      </x:c>
      <x:c r="C11" s="10" t="str"/>
      <x:c r="D11" s="10" t="str"/>
      <x:c r="E11" s="10" t="str"/>
      <x:c r="F11" s="10" t="str"/>
    </x:row>
    <x:row r="12"/>
    <x:row r="13"/>
    <x:row r="14" ht="15" hidden="0" customHeight="1">
      <x:c r="A14" s="13" t="str">
        <x:v>Dimension</x:v>
      </x:c>
      <x:c r="B14" s="13" t="str">
        <x:v>Score</x:v>
      </x:c>
      <x:c r="C14" s="13" t="str">
        <x:v>Stage</x:v>
      </x:c>
      <x:c r="D14" s="13" t="str">
        <x:v>Stage Label</x:v>
      </x:c>
      <x:c r="E14" s="13" t="str">
        <x:v>Key blocker</x:v>
      </x:c>
      <x:c r="F14" s="13" t="str">
        <x:v>Default action</x:v>
      </x:c>
    </x:row>
    <x:row r="15" ht="24" hidden="0" customHeight="1">
      <x:c r="A15" s="10" t="str">
        <x:v>Where: Infrastructure &amp; Access</x:v>
      </x:c>
      <x:c r="B15" s="14" t="n">
        <x:f>SUMIF('Scorecard'!A7:A18,"Where",'Scorecard'!D7:D18)</x:f>
        <x:v>7</x:v>
      </x:c>
      <x:c r="C15" s="14" t="n">
        <x:f>IF(B15&lt;=3,1,IF(B15&lt;=6,2,IF(B15&lt;=9,3,4)))</x:f>
        <x:v>3</x:v>
      </x:c>
      <x:c r="D15" s="10" t="str">
        <x:f>CHOOSE(C15,"Stage 1: Ad Hoc AI","Stage 2: Connected AI","Stage 3: Operational AI","Stage 4: Owned AI Workforce")</x:f>
        <x:v>Stage 3: Operational AI</x:v>
      </x:c>
      <x:c r="E15" s="10" t="str">
        <x:v>Access path not validated</x:v>
      </x:c>
      <x:c r="F15" s="10" t="str">
        <x:v>Confirm deployment and access route</x:v>
      </x:c>
    </x:row>
    <x:row r="16" ht="24" hidden="0" customHeight="1">
      <x:c r="A16" s="10" t="str">
        <x:v>What: Applications &amp; Agents</x:v>
      </x:c>
      <x:c r="B16" s="14" t="n">
        <x:f>SUMIF('Scorecard'!A7:A18,"What",'Scorecard'!D7:D18)</x:f>
        <x:v>8</x:v>
      </x:c>
      <x:c r="C16" s="14" t="n">
        <x:f>IF(B16&lt;=3,1,IF(B16&lt;=6,2,IF(B16&lt;=9,3,4)))</x:f>
        <x:v>3</x:v>
      </x:c>
      <x:c r="D16" s="10" t="str">
        <x:f>CHOOSE(C16,"Stage 1: Ad Hoc AI","Stage 2: Connected AI","Stage 3: Operational AI","Stage 4: Owned AI Workforce")</x:f>
        <x:v>Stage 3: Operational AI</x:v>
      </x:c>
      <x:c r="E16" s="10" t="str">
        <x:v>Evaluation set missing</x:v>
      </x:c>
      <x:c r="F16" s="10" t="str">
        <x:v>Define agent/app role and approval workflow</x:v>
      </x:c>
    </x:row>
    <x:row r="17" ht="24" hidden="0" customHeight="1">
      <x:c r="A17" s="10" t="str">
        <x:v>How: Operations &amp; Impact</x:v>
      </x:c>
      <x:c r="B17" s="14" t="n">
        <x:f>SUMIF('Scorecard'!A7:A18,"How",'Scorecard'!D7:D18)</x:f>
        <x:v>6</x:v>
      </x:c>
      <x:c r="C17" s="14" t="n">
        <x:f>IF(B17&lt;=3,1,IF(B17&lt;=6,2,IF(B17&lt;=9,3,4)))</x:f>
        <x:v>2</x:v>
      </x:c>
      <x:c r="D17" s="10" t="str">
        <x:f>CHOOSE(C17,"Stage 1: Ad Hoc AI","Stage 2: Connected AI","Stage 3: Operational AI","Stage 4: Owned AI Workforce")</x:f>
        <x:v>Stage 2: Connected AI</x:v>
      </x:c>
      <x:c r="E17" s="10" t="str">
        <x:v>Finance baseline not validated</x:v>
      </x:c>
      <x:c r="F17" s="10" t="str">
        <x:v>Validate ROI assumptions and ownership</x:v>
      </x:c>
    </x:row>
    <x:row r="18"/>
    <x:row r="19"/>
    <x:row r="20" ht="15" hidden="0" customHeight="1">
      <x:c r="A20" s="6" t="str">
        <x:v>How to use</x:v>
      </x:c>
      <x:c r="B20" s="6" t="str"/>
      <x:c r="C20" s="6" t="str"/>
      <x:c r="D20" s="6" t="str"/>
      <x:c r="E20" s="6" t="str"/>
      <x:c r="F20" s="6" t="str"/>
    </x:row>
    <x:row r="21" ht="15" hidden="0" customHeight="1">
      <x:c r="A21" s="10" t="str">
        <x:v>1</x:v>
      </x:c>
      <x:c r="B21" s="10" t="str">
        <x:v>Score each gate from 0 to 3 in Scorecard.</x:v>
      </x:c>
      <x:c r="C21" s="10" t="str">
        <x:v>0 = missing; 3 = operational.</x:v>
      </x:c>
      <x:c r="D21" s="10" t="str"/>
      <x:c r="E21" s="10" t="str"/>
      <x:c r="F21" s="10" t="str"/>
    </x:row>
    <x:row r="22" ht="15" hidden="0" customHeight="1">
      <x:c r="A22" s="10" t="str">
        <x:v>2</x:v>
      </x:c>
      <x:c r="B22" s="10" t="str">
        <x:v>Set red-gate status in Red Gates.</x:v>
      </x:c>
      <x:c r="C22" s="10" t="str">
        <x:v>Open or Conditional caps maturity.</x:v>
      </x:c>
      <x:c r="D22" s="10" t="str"/>
      <x:c r="E22" s="10" t="str"/>
      <x:c r="F22" s="10" t="str"/>
    </x:row>
    <x:row r="23" ht="15" hidden="0" customHeight="1">
      <x:c r="A23" s="10" t="str">
        <x:v>3</x:v>
      </x:c>
      <x:c r="B23" s="10" t="str">
        <x:v>Edit Workflow ROI inputs.</x:v>
      </x:c>
      <x:c r="C23" s="10" t="str">
        <x:v>The value model separates capacity, quality, speed, revenue, and risk.</x:v>
      </x:c>
      <x:c r="D23" s="10" t="str"/>
      <x:c r="E23" s="10" t="str"/>
      <x:c r="F23" s="10" t="str"/>
    </x:row>
    <x:row r="24" ht="15" hidden="0" customHeight="1">
      <x:c r="A24" s="10" t="str">
        <x:v>4</x:v>
      </x:c>
      <x:c r="B24" s="10" t="str">
        <x:v>Use Action Plan for client next steps.</x:v>
      </x:c>
      <x:c r="C24" s="10" t="str">
        <x:v>Treat missing evidence as an action, not as optimism.</x:v>
      </x:c>
      <x:c r="D24" s="10" t="str"/>
      <x:c r="E24" s="10" t="str"/>
      <x:c r="F24" s="10" t="str"/>
    </x:row>
  </x:sheetData>
  <x:mergeCells>
    <x:mergeCell ref="A1:F1"/>
    <x:mergeCell ref="A2:F2"/>
    <x:mergeCell ref="A4:F4"/>
    <x:mergeCell ref="B11:F11"/>
    <x:mergeCell ref="A20:F20"/>
    <x:mergeCell ref="B21:F21"/>
    <x:mergeCell ref="B22:F22"/>
    <x:mergeCell ref="B23:F23"/>
    <x:mergeCell ref="B24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0" hidden="0" customWidth="1"/>
    <x:col min="3" max="3" width="21.110000610351562" hidden="0" customWidth="1"/>
    <x:col min="4" max="4" width="10" hidden="0" customWidth="1"/>
    <x:col min="5" max="5" width="14.4399995803833" hidden="0" customWidth="1"/>
    <x:col min="6" max="6" width="25.559999465942383" hidden="0" customWidth="1"/>
    <x:col min="7" max="7" width="25.559999465942383" hidden="0" customWidth="1"/>
    <x:col min="8" max="8" width="14.4399995803833" hidden="0" customWidth="1"/>
    <x:col min="9" max="9" width="25.559999465942383" hidden="0" customWidth="1"/>
  </x:cols>
  <x:sheetData>
    <x:row r="1" ht="24" hidden="0" customHeight="1">
      <x:c r="A1" s="2" t="str">
        <x:v>NovaOrbit 12-Benchmark Scorecard</x:v>
      </x:c>
    </x:row>
    <x:row r="2" ht="15" hidden="0" customHeight="1">
      <x:c r="A2" s="4" t="str">
        <x:v>Edit scores, confidence, owners, evidence, blockers, and next actions.</x:v>
      </x:c>
    </x:row>
    <x:row r="3"/>
    <x:row r="4"/>
    <x:row r="5" ht="24" hidden="0" customHeight="1">
      <x:c r="A5" s="13" t="str">
        <x:v>Dimension</x:v>
      </x:c>
      <x:c r="B5" s="13" t="str">
        <x:v>Gate Code</x:v>
      </x:c>
      <x:c r="C5" s="13" t="str">
        <x:v>Gate</x:v>
      </x:c>
      <x:c r="D5" s="13" t="str">
        <x:v>Score 0-3</x:v>
      </x:c>
      <x:c r="E5" s="13" t="str">
        <x:v>Evidence Confidence</x:v>
      </x:c>
      <x:c r="F5" s="13" t="str">
        <x:v>Key Evidence</x:v>
      </x:c>
      <x:c r="G5" s="13" t="str">
        <x:v>Blocker</x:v>
      </x:c>
      <x:c r="H5" s="13" t="str">
        <x:v>Owner</x:v>
      </x:c>
      <x:c r="I5" s="13" t="str">
        <x:v>Next Action</x:v>
      </x:c>
    </x:row>
    <x:row r="6" ht="15" hidden="0" customHeight="1">
      <x:c r="A6" s="17" t="str">
        <x:v>Use 0 = Missing, 1 = Informal, 2 = Defined, 3 = Operational. Score conservatively when evidence is weak.</x:v>
      </x:c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</x:row>
    <x:row r="7" ht="24" hidden="0" customHeight="1">
      <x:c r="A7" s="10" t="str">
        <x:v>Where</x:v>
      </x:c>
      <x:c r="B7" s="10" t="str">
        <x:v>W1</x:v>
      </x:c>
      <x:c r="C7" s="10" t="str">
        <x:v>Deployment Boundary</x:v>
      </x:c>
      <x:c r="D7" s="10" t="n">
        <x:v>2</x:v>
      </x:c>
      <x:c r="E7" s="10" t="str">
        <x:v>Medium</x:v>
      </x:c>
      <x:c r="F7" s="10" t="str">
        <x:v>Cloud preference known; boundary workshop needed</x:v>
      </x:c>
      <x:c r="G7" s="10" t="str">
        <x:v>Data residency and support model not finalized</x:v>
      </x:c>
      <x:c r="H7" s="10" t="str">
        <x:v>CTO / IT</x:v>
      </x:c>
      <x:c r="I7" s="10" t="str">
        <x:v>Confirm deployment boundary and support model</x:v>
      </x:c>
    </x:row>
    <x:row r="8" ht="24" hidden="0" customHeight="1">
      <x:c r="A8" s="10" t="str">
        <x:v>Where</x:v>
      </x:c>
      <x:c r="B8" s="10" t="str">
        <x:v>W2</x:v>
      </x:c>
      <x:c r="C8" s="10" t="str">
        <x:v>Inference Readiness</x:v>
      </x:c>
      <x:c r="D8" s="10" t="n">
        <x:v>2</x:v>
      </x:c>
      <x:c r="E8" s="10" t="str">
        <x:v>Medium</x:v>
      </x:c>
      <x:c r="F8" s="10" t="str">
        <x:v>Expected volume and latency known</x:v>
      </x:c>
      <x:c r="G8" s="10" t="str">
        <x:v>Cost envelope not validated under load</x:v>
      </x:c>
      <x:c r="H8" s="10" t="str">
        <x:v>CTO / IT</x:v>
      </x:c>
      <x:c r="I8" s="10" t="str">
        <x:v>Estimate inference cost, latency, fallback, and monitoring</x:v>
      </x:c>
    </x:row>
    <x:row r="9" ht="24" hidden="0" customHeight="1">
      <x:c r="A9" s="10" t="str">
        <x:v>Where</x:v>
      </x:c>
      <x:c r="B9" s="10" t="str">
        <x:v>W3</x:v>
      </x:c>
      <x:c r="C9" s="10" t="str">
        <x:v>Access Readiness</x:v>
      </x:c>
      <x:c r="D9" s="10" t="n">
        <x:v>1</x:v>
      </x:c>
      <x:c r="E9" s="10" t="str">
        <x:v>Low</x:v>
      </x:c>
      <x:c r="F9" s="10" t="str">
        <x:v>Source systems named</x:v>
      </x:c>
      <x:c r="G9" s="10" t="str">
        <x:v>API/MCP/export path not validated</x:v>
      </x:c>
      <x:c r="H9" s="10" t="str">
        <x:v>IT / system owner</x:v>
      </x:c>
      <x:c r="I9" s="10" t="str">
        <x:v>Validate least-privilege API, export, database, or upload path</x:v>
      </x:c>
    </x:row>
    <x:row r="10" ht="24" hidden="0" customHeight="1">
      <x:c r="A10" s="10" t="str">
        <x:v>Where</x:v>
      </x:c>
      <x:c r="B10" s="10" t="str">
        <x:v>W4</x:v>
      </x:c>
      <x:c r="C10" s="10" t="str">
        <x:v>Control Plane</x:v>
      </x:c>
      <x:c r="D10" s="10" t="n">
        <x:v>2</x:v>
      </x:c>
      <x:c r="E10" s="10" t="str">
        <x:v>Medium</x:v>
      </x:c>
      <x:c r="F10" s="10" t="str">
        <x:v>Identity and logging tools exist</x:v>
      </x:c>
      <x:c r="G10" s="10" t="str">
        <x:v>AI run ledger not designed</x:v>
      </x:c>
      <x:c r="H10" s="10" t="str">
        <x:v>Security / IT</x:v>
      </x:c>
      <x:c r="I10" s="10" t="str">
        <x:v>Define identity, logging, audit, and retention controls</x:v>
      </x:c>
    </x:row>
    <x:row r="11" ht="24" hidden="0" customHeight="1">
      <x:c r="A11" s="10" t="str">
        <x:v>What</x:v>
      </x:c>
      <x:c r="B11" s="10" t="str">
        <x:v>A1</x:v>
      </x:c>
      <x:c r="C11" s="10" t="str">
        <x:v>Workflow Fit</x:v>
      </x:c>
      <x:c r="D11" s="10" t="n">
        <x:v>3</x:v>
      </x:c>
      <x:c r="E11" s="10" t="str">
        <x:v>High</x:v>
      </x:c>
      <x:c r="F11" s="10" t="str">
        <x:v>RFQ process is repeated and painful</x:v>
      </x:c>
      <x:c r="G11" s="10" t="str">
        <x:v>None for v1</x:v>
      </x:c>
      <x:c r="H11" s="10" t="str">
        <x:v>Department owner</x:v>
      </x:c>
      <x:c r="I11" s="10" t="str">
        <x:v>Create v1 workflow map and acceptance criteria</x:v>
      </x:c>
    </x:row>
    <x:row r="12" ht="24" hidden="0" customHeight="1">
      <x:c r="A12" s="10" t="str">
        <x:v>What</x:v>
      </x:c>
      <x:c r="B12" s="10" t="str">
        <x:v>A2</x:v>
      </x:c>
      <x:c r="C12" s="10" t="str">
        <x:v>Agent Role</x:v>
      </x:c>
      <x:c r="D12" s="10" t="n">
        <x:v>2</x:v>
      </x:c>
      <x:c r="E12" s="10" t="str">
        <x:v>Medium</x:v>
      </x:c>
      <x:c r="F12" s="10" t="str">
        <x:v>Quote analyst role is clear</x:v>
      </x:c>
      <x:c r="G12" s="10" t="str">
        <x:v>Evaluation examples missing</x:v>
      </x:c>
      <x:c r="H12" s="10" t="str">
        <x:v>Workflow owner</x:v>
      </x:c>
      <x:c r="I12" s="10" t="str">
        <x:v>Define outputs, forbidden actions, fallback, and quality checks</x:v>
      </x:c>
    </x:row>
    <x:row r="13" ht="24" hidden="0" customHeight="1">
      <x:c r="A13" s="10" t="str">
        <x:v>What</x:v>
      </x:c>
      <x:c r="B13" s="10" t="str">
        <x:v>A3</x:v>
      </x:c>
      <x:c r="C13" s="10" t="str">
        <x:v>App Surface</x:v>
      </x:c>
      <x:c r="D13" s="10" t="n">
        <x:v>2</x:v>
      </x:c>
      <x:c r="E13" s="10" t="str">
        <x:v>Medium</x:v>
      </x:c>
      <x:c r="F13" s="10" t="str">
        <x:v>Inbox plus approval dashboard selected</x:v>
      </x:c>
      <x:c r="G13" s="10" t="str">
        <x:v>Screen states not finalized</x:v>
      </x:c>
      <x:c r="H13" s="10" t="str">
        <x:v>Product / ops</x:v>
      </x:c>
      <x:c r="I13" s="10" t="str">
        <x:v>Define user surface, states, actions, and approvals</x:v>
      </x:c>
    </x:row>
    <x:row r="14" ht="24" hidden="0" customHeight="1">
      <x:c r="A14" s="10" t="str">
        <x:v>What</x:v>
      </x:c>
      <x:c r="B14" s="10" t="str">
        <x:v>A4</x:v>
      </x:c>
      <x:c r="C14" s="10" t="str">
        <x:v>Integration Depth</x:v>
      </x:c>
      <x:c r="D14" s="10" t="n">
        <x:v>1</x:v>
      </x:c>
      <x:c r="E14" s="10" t="str">
        <x:v>Low</x:v>
      </x:c>
      <x:c r="F14" s="10" t="str">
        <x:v>Read-only first step preferred</x:v>
      </x:c>
      <x:c r="G14" s="10" t="str">
        <x:v>Writeback path not approved</x:v>
      </x:c>
      <x:c r="H14" s="10" t="str">
        <x:v>IT / security</x:v>
      </x:c>
      <x:c r="I14" s="10" t="str">
        <x:v>Start read-only; defer writeback until controls pass</x:v>
      </x:c>
    </x:row>
    <x:row r="15" ht="24" hidden="0" customHeight="1">
      <x:c r="A15" s="10" t="str">
        <x:v>How</x:v>
      </x:c>
      <x:c r="B15" s="10" t="str">
        <x:v>H1</x:v>
      </x:c>
      <x:c r="C15" s="10" t="str">
        <x:v>Ownership</x:v>
      </x:c>
      <x:c r="D15" s="10" t="n">
        <x:v>2</x:v>
      </x:c>
      <x:c r="E15" s="10" t="str">
        <x:v>Medium</x:v>
      </x:c>
      <x:c r="F15" s="10" t="str">
        <x:v>Sponsor and department owner named</x:v>
      </x:c>
      <x:c r="G15" s="10" t="str">
        <x:v>Approval owner needs confirmation</x:v>
      </x:c>
      <x:c r="H15" s="10" t="str">
        <x:v>Client sponsor</x:v>
      </x:c>
      <x:c r="I15" s="10" t="str">
        <x:v>Confirm executive, workflow, IT, finance, and approval owners</x:v>
      </x:c>
    </x:row>
    <x:row r="16" ht="24" hidden="0" customHeight="1">
      <x:c r="A16" s="10" t="str">
        <x:v>How</x:v>
      </x:c>
      <x:c r="B16" s="10" t="str">
        <x:v>H2</x:v>
      </x:c>
      <x:c r="C16" s="10" t="str">
        <x:v>Business Case</x:v>
      </x:c>
      <x:c r="D16" s="10" t="n">
        <x:v>1</x:v>
      </x:c>
      <x:c r="E16" s="10" t="str">
        <x:v>Low</x:v>
      </x:c>
      <x:c r="F16" s="10" t="str">
        <x:v>Proxy value exists</x:v>
      </x:c>
      <x:c r="G16" s="10" t="str">
        <x:v>Finance baseline not validated</x:v>
      </x:c>
      <x:c r="H16" s="10" t="str">
        <x:v>CFO / finance</x:v>
      </x:c>
      <x:c r="I16" s="10" t="str">
        <x:v>Validate volume, hourly cost proxy, quality and speed assumptions</x:v>
      </x:c>
    </x:row>
    <x:row r="17" ht="24" hidden="0" customHeight="1">
      <x:c r="A17" s="10" t="str">
        <x:v>How</x:v>
      </x:c>
      <x:c r="B17" s="10" t="str">
        <x:v>H3</x:v>
      </x:c>
      <x:c r="C17" s="10" t="str">
        <x:v>Governance</x:v>
      </x:c>
      <x:c r="D17" s="10" t="n">
        <x:v>2</x:v>
      </x:c>
      <x:c r="E17" s="10" t="str">
        <x:v>Medium</x:v>
      </x:c>
      <x:c r="F17" s="10" t="str">
        <x:v>Escalation appetite understood</x:v>
      </x:c>
      <x:c r="G17" s="10" t="str">
        <x:v>Policy details still open</x:v>
      </x:c>
      <x:c r="H17" s="10" t="str">
        <x:v>Security / compliance</x:v>
      </x:c>
      <x:c r="I17" s="10" t="str">
        <x:v>Define oversight, escalation, and risk posture</x:v>
      </x:c>
    </x:row>
    <x:row r="18" ht="24" hidden="0" customHeight="1">
      <x:c r="A18" s="10" t="str">
        <x:v>How</x:v>
      </x:c>
      <x:c r="B18" s="10" t="str">
        <x:v>H4</x:v>
      </x:c>
      <x:c r="C18" s="10" t="str">
        <x:v>Run Model</x:v>
      </x:c>
      <x:c r="D18" s="10" t="n">
        <x:v>1</x:v>
      </x:c>
      <x:c r="E18" s="10" t="str">
        <x:v>Low</x:v>
      </x:c>
      <x:c r="F18" s="10" t="str">
        <x:v>Pilot support expectation exists</x:v>
      </x:c>
      <x:c r="G18" s="10" t="str">
        <x:v>Monitoring and adoption owner not finalized</x:v>
      </x:c>
      <x:c r="H18" s="10" t="str">
        <x:v>Operations</x:v>
      </x:c>
      <x:c r="I18" s="10" t="str">
        <x:v>Define adoption, support, monitoring, and continuous improvement rhythm</x:v>
      </x:c>
    </x:row>
    <x:row r="19"/>
    <x:row r="20" ht="15" hidden="0" customHeight="1">
      <x:c r="A20" s="13" t="str">
        <x:v>Score</x:v>
      </x:c>
      <x:c r="B20" s="13" t="str">
        <x:v>Label</x:v>
      </x:c>
      <x:c r="C20" s="13" t="str">
        <x:v>Meaning</x:v>
      </x:c>
      <x:c r="D20" s="13" t="str"/>
      <x:c r="E20" s="13" t="str">
        <x:v>Evidence standard</x:v>
      </x:c>
      <x:c r="F20" s="13" t="str"/>
      <x:c r="G20" s="13" t="str"/>
      <x:c r="H20" s="13" t="str">
        <x:v>Default posture</x:v>
      </x:c>
      <x:c r="I20" s="13" t="str"/>
    </x:row>
    <x:row r="21" ht="15" hidden="0" customHeight="1">
      <x:c r="A21" s="10" t="n">
        <x:v>0</x:v>
      </x:c>
      <x:c r="B21" s="10" t="str">
        <x:v>Missing</x:v>
      </x:c>
      <x:c r="C21" s="10" t="str">
        <x:v>No reliable evidence exists.</x:v>
      </x:c>
      <x:c r="D21" s="10" t="str"/>
      <x:c r="E21" s="10" t="str">
        <x:v>Stakeholders cannot describe it or answer depends on assumptions.</x:v>
      </x:c>
      <x:c r="F21" s="10" t="str"/>
      <x:c r="G21" s="10" t="str"/>
      <x:c r="H21" s="10" t="str">
        <x:v>Do not build yet.</x:v>
      </x:c>
      <x:c r="I21" s="10" t="str"/>
    </x:row>
    <x:row r="22" ht="15" hidden="0" customHeight="1">
      <x:c r="A22" s="10" t="n">
        <x:v>1</x:v>
      </x:c>
      <x:c r="B22" s="10" t="str">
        <x:v>Informal</x:v>
      </x:c>
      <x:c r="C22" s="10" t="str">
        <x:v>Capability exists in pockets.</x:v>
      </x:c>
      <x:c r="D22" s="10" t="str"/>
      <x:c r="E22" s="10" t="str">
        <x:v>Interview evidence exists; artifacts, owners, or controls are weak.</x:v>
      </x:c>
      <x:c r="F22" s="10" t="str"/>
      <x:c r="G22" s="10" t="str"/>
      <x:c r="H22" s="10" t="str">
        <x:v>Discover and validate.</x:v>
      </x:c>
      <x:c r="I22" s="10" t="str"/>
    </x:row>
    <x:row r="23" ht="24" hidden="0" customHeight="1">
      <x:c r="A23" s="10" t="n">
        <x:v>2</x:v>
      </x:c>
      <x:c r="B23" s="10" t="str">
        <x:v>Defined</x:v>
      </x:c>
      <x:c r="C23" s="10" t="str">
        <x:v>Capability is documented, owned, and usable.</x:v>
      </x:c>
      <x:c r="D23" s="10" t="str"/>
      <x:c r="E23" s="10" t="str">
        <x:v>Artifacts exist, owners are named, and constraints are clear enough.</x:v>
      </x:c>
      <x:c r="F23" s="10" t="str"/>
      <x:c r="G23" s="10" t="str"/>
      <x:c r="H23" s="10" t="str">
        <x:v>Prepare implementation.</x:v>
      </x:c>
      <x:c r="I23" s="10" t="str"/>
    </x:row>
    <x:row r="24" ht="24" hidden="0" customHeight="1">
      <x:c r="A24" s="10" t="n">
        <x:v>3</x:v>
      </x:c>
      <x:c r="B24" s="10" t="str">
        <x:v>Operational</x:v>
      </x:c>
      <x:c r="C24" s="10" t="str">
        <x:v>Capability is active or ready for production controls.</x:v>
      </x:c>
      <x:c r="D24" s="10" t="str"/>
      <x:c r="E24" s="10" t="str">
        <x:v>Operating records, controls, runbooks, metrics, or systems prove it.</x:v>
      </x:c>
      <x:c r="F24" s="10" t="str"/>
      <x:c r="G24" s="10" t="str"/>
      <x:c r="H24" s="10" t="str">
        <x:v>Build or scale.</x:v>
      </x:c>
      <x:c r="I24" s="10" t="str"/>
    </x:row>
  </x:sheetData>
  <x:mergeCells>
    <x:mergeCell ref="A1:I1"/>
    <x:mergeCell ref="A2:I2"/>
    <x:mergeCell ref="A6:I6"/>
    <x:mergeCell ref="C20:D20"/>
    <x:mergeCell ref="E20:G20"/>
    <x:mergeCell ref="H20:I20"/>
    <x:mergeCell ref="C21:D21"/>
    <x:mergeCell ref="E21:G21"/>
    <x:mergeCell ref="H21:I21"/>
    <x:mergeCell ref="C22:D22"/>
    <x:mergeCell ref="E22:G22"/>
    <x:mergeCell ref="H22:I22"/>
    <x:mergeCell ref="C23:D23"/>
    <x:mergeCell ref="E23:G23"/>
    <x:mergeCell ref="H23:I23"/>
    <x:mergeCell ref="C24:D24"/>
    <x:mergeCell ref="E24:G24"/>
    <x:mergeCell ref="H24:I24"/>
  </x:mergeCells>
  <x:conditionalFormatting sqref="D7:D18">
    <x:cfRule type="colorScale" priority="1">
      <x:colorScale>
        <x:cfvo type="min"/>
        <x:cfvo type="percentile" val="50"/>
        <x:cfvo type="max"/>
        <x:color rgb="FFF4C27A"/>
        <x:color rgb="FFEFE4D2"/>
        <x:color rgb="FF6EA888"/>
      </x:colorScale>
    </x:cfRule>
  </x:conditionalFormatting>
  <x:dataValidations count="2">
    <x:dataValidation type="whole" operator="between" sqref="D7:D18">
      <x:formula1>0</x:formula1>
      <x:formula2>3</x:formula2>
    </x:dataValidation>
    <x:dataValidation type="list" sqref="E7:E18">
      <x:formula1>"Low,Medium,High"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4.4399995803833" hidden="0" customWidth="1"/>
    <x:col min="3" max="3" width="10.5600004196167" hidden="0" customWidth="1"/>
    <x:col min="4" max="4" width="32.220001220703125" hidden="0" customWidth="1"/>
    <x:col min="5" max="5" width="15.5600004196167" hidden="0" customWidth="1"/>
    <x:col min="6" max="6" width="30" hidden="0" customWidth="1"/>
    <x:col min="7" max="7" width="10.5600004196167" hidden="0" customWidth="1"/>
  </x:cols>
  <x:sheetData>
    <x:row r="1" ht="24" hidden="0" customHeight="1">
      <x:c r="A1" s="2" t="str">
        <x:v>NovaOrbit Red-Gate Caps</x:v>
      </x:c>
    </x:row>
    <x:row r="2" ht="15" hidden="0" customHeight="1">
      <x:c r="A2" s="4" t="str">
        <x:v>Open or conditional red gates cap maturity and prevent false readiness claims.</x:v>
      </x:c>
    </x:row>
    <x:row r="3"/>
    <x:row r="4"/>
    <x:row r="5" ht="15" hidden="0" customHeight="1">
      <x:c r="A5" s="13" t="str">
        <x:v>Red Gate</x:v>
      </x:c>
      <x:c r="B5" s="13" t="str">
        <x:v>Status</x:v>
      </x:c>
      <x:c r="C5" s="13" t="str">
        <x:v>Cap Stage</x:v>
      </x:c>
      <x:c r="D5" s="13" t="str">
        <x:v>Trigger</x:v>
      </x:c>
      <x:c r="E5" s="13" t="str">
        <x:v>Owner</x:v>
      </x:c>
      <x:c r="F5" s="13" t="str">
        <x:v>Required Action</x:v>
      </x:c>
      <x:c r="G5" s="13" t="str">
        <x:v>Effective Cap</x:v>
      </x:c>
    </x:row>
    <x:row r="6" ht="36" hidden="0" customHeight="1">
      <x:c r="A6" s="10" t="str">
        <x:v>No access, no AI</x:v>
      </x:c>
      <x:c r="B6" s="10" t="str">
        <x:v>Conditional</x:v>
      </x:c>
      <x:c r="C6" s="10" t="n">
        <x:v>2</x:v>
      </x:c>
      <x:c r="D6" s="10" t="str">
        <x:v>Source systems, permissions, APIs, MCPs, approved exports, or controlled uploads are not clear enough.</x:v>
      </x:c>
      <x:c r="E6" s="10" t="str">
        <x:v>CTO / IT</x:v>
      </x:c>
      <x:c r="F6" s="10" t="str">
        <x:v>Validate access path before build or exclude blocked retrieval from v1.</x:v>
      </x:c>
      <x:c r="G6" s="10" t="n">
        <x:f>IF(B6="Closed",4,C6)</x:f>
        <x:v>2</x:v>
      </x:c>
    </x:row>
    <x:row r="7" ht="24" hidden="0" customHeight="1">
      <x:c r="A7" s="10" t="str">
        <x:v>No workflow, no agent</x:v>
      </x:c>
      <x:c r="B7" s="10" t="str">
        <x:v>Closed</x:v>
      </x:c>
      <x:c r="C7" s="10" t="n">
        <x:v>2</x:v>
      </x:c>
      <x:c r="D7" s="10" t="str">
        <x:v>The work is not repeatable, owned, measurable, or tied to business value.</x:v>
      </x:c>
      <x:c r="E7" s="10" t="str">
        <x:v>Department owner</x:v>
      </x:c>
      <x:c r="F7" s="10" t="str">
        <x:v>RFQ workflow is clear enough for v1; keep exception list current.</x:v>
      </x:c>
      <x:c r="G7" s="10" t="n">
        <x:f>IF(B7="Closed",4,C7)</x:f>
        <x:v>4</x:v>
      </x:c>
    </x:row>
    <x:row r="8" ht="24" hidden="0" customHeight="1">
      <x:c r="A8" s="10" t="str">
        <x:v>No owner, no impact</x:v>
      </x:c>
      <x:c r="B8" s="10" t="str">
        <x:v>Closed</x:v>
      </x:c>
      <x:c r="C8" s="10" t="n">
        <x:v>2</x:v>
      </x:c>
      <x:c r="D8" s="10" t="str">
        <x:v>Executive sponsor, workflow owner, IT owner, finance owner, or approval owner is missing.</x:v>
      </x:c>
      <x:c r="E8" s="10" t="str">
        <x:v>Client sponsor</x:v>
      </x:c>
      <x:c r="F8" s="10" t="str">
        <x:v>Confirm approval owner in kickoff.</x:v>
      </x:c>
      <x:c r="G8" s="10" t="n">
        <x:f>IF(B8="Closed",4,C8)</x:f>
        <x:v>4</x:v>
      </x:c>
    </x:row>
    <x:row r="9" ht="24" hidden="0" customHeight="1">
      <x:c r="A9" s="10" t="str">
        <x:v>No evidence, no scale</x:v>
      </x:c>
      <x:c r="B9" s="10" t="str">
        <x:v>Conditional</x:v>
      </x:c>
      <x:c r="C9" s="10" t="n">
        <x:v>3</x:v>
      </x:c>
      <x:c r="D9" s="10" t="str">
        <x:v>Value, quality, risk, cost, cycle time, or revenue cannot be measured after launch.</x:v>
      </x:c>
      <x:c r="E9" s="10" t="str">
        <x:v>CFO / owner</x:v>
      </x:c>
      <x:c r="F9" s="10" t="str">
        <x:v>Baseline before pilot and review evidence before scale.</x:v>
      </x:c>
      <x:c r="G9" s="10" t="n">
        <x:f>IF(B9="Closed",4,C9)</x:f>
        <x:v>3</x:v>
      </x:c>
    </x:row>
    <x:row r="10" ht="36" hidden="0" customHeight="1">
      <x:c r="A10" s="10" t="str">
        <x:v>No reliability, no autonomy</x:v>
      </x:c>
      <x:c r="B10" s="10" t="str">
        <x:v>Conditional</x:v>
      </x:c>
      <x:c r="C10" s="10" t="n">
        <x:v>3</x:v>
      </x:c>
      <x:c r="D10" s="10" t="str">
        <x:v>Outputs cannot be tested, monitored, reviewed, or safely constrained for the proposed autonomy level.</x:v>
      </x:c>
      <x:c r="E10" s="10" t="str">
        <x:v>Workflow owner / security</x:v>
      </x:c>
      <x:c r="F10" s="10" t="str">
        <x:v>Create evaluation set, approval rules, fallback, and monitoring before autonomy.</x:v>
      </x:c>
      <x:c r="G10" s="10" t="n">
        <x:f>IF(B10="Closed",4,C10)</x:f>
        <x:v>3</x:v>
      </x:c>
    </x:row>
  </x:sheetData>
  <x:mergeCells>
    <x:mergeCell ref="A1:G1"/>
    <x:mergeCell ref="A2:G2"/>
  </x:mergeCells>
  <x:conditionalFormatting sqref="B6:B10">
    <x:cfRule type="containsText" dxfId="0" priority="1" operator="containsText" text="Open"/>
    <x:cfRule type="containsText" dxfId="1" priority="2" operator="containsText" text="Conditional"/>
    <x:cfRule type="containsText" dxfId="2" priority="3" operator="containsText" text="Closed"/>
  </x:conditionalFormatting>
  <x:dataValidations count="1">
    <x:dataValidation type="list" sqref="B6:B10">
      <x:formula1>"Open,Conditional,Closed"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6.670000076293945" hidden="0" customWidth="1"/>
    <x:col min="3" max="3" width="37.779998779296875" hidden="0" customWidth="1"/>
    <x:col min="4" max="4" width="20" hidden="0" customWidth="1"/>
    <x:col min="5" max="5" width="10" hidden="0" customWidth="1"/>
    <x:col min="6" max="6" width="31.110000610351562" hidden="0" customWidth="1"/>
  </x:cols>
  <x:sheetData>
    <x:row r="1" ht="24" hidden="0" customHeight="1">
      <x:c r="A1" s="2" t="str">
        <x:v>NovaOrbit Workflow ROI Model</x:v>
      </x:c>
    </x:row>
    <x:row r="2" ht="15" hidden="0" customHeight="1">
      <x:c r="A2" s="4" t="str">
        <x:v>Conservative model: separate capacity, quality, speed, revenue, and risk. Finance validation required.</x:v>
      </x:c>
    </x:row>
    <x:row r="3"/>
    <x:row r="4"/>
    <x:row r="5" ht="15" hidden="0" customHeight="1">
      <x:c r="A5" s="13" t="str">
        <x:v>Input</x:v>
      </x:c>
      <x:c r="B5" s="13" t="str">
        <x:v>Value</x:v>
      </x:c>
      <x:c r="C5" s="13" t="str">
        <x:v>Notes</x:v>
      </x:c>
      <x:c r="D5" s="13" t="str">
        <x:v>Model Assumption</x:v>
      </x:c>
      <x:c r="E5" s="13" t="str">
        <x:v>Value</x:v>
      </x:c>
      <x:c r="F5" s="13" t="str">
        <x:v>Notes</x:v>
      </x:c>
    </x:row>
    <x:row r="6" ht="24" hidden="0" customHeight="1">
      <x:c r="A6" s="10" t="str">
        <x:v>Workflow</x:v>
      </x:c>
      <x:c r="B6" s="10" t="str">
        <x:v>RFQ response and quotation preparation</x:v>
      </x:c>
      <x:c r="C6" s="10" t="str">
        <x:v>Name the workflow, not a generic AI use case.</x:v>
      </x:c>
      <x:c r="D6" s="10" t="str">
        <x:v>Conservative capacity factor</x:v>
      </x:c>
      <x:c r="E6" s="18" t="n">
        <x:v>0.7</x:v>
      </x:c>
      <x:c r="F6" s="10" t="str">
        <x:v>Applied to capacity value in the conservative case.</x:v>
      </x:c>
    </x:row>
    <x:row r="7" ht="24" hidden="0" customHeight="1">
      <x:c r="A7" s="10" t="str">
        <x:v>Workflow volume per week</x:v>
      </x:c>
      <x:c r="B7" s="10" t="n">
        <x:v>120</x:v>
      </x:c>
      <x:c r="C7" s="10" t="str">
        <x:v>Cases, tickets, requests, RFQs, or tasks.</x:v>
      </x:c>
      <x:c r="D7" s="10" t="str">
        <x:v>Conservative rework factor</x:v>
      </x:c>
      <x:c r="E7" s="18" t="n">
        <x:v>0.5</x:v>
      </x:c>
      <x:c r="F7" s="10" t="str">
        <x:v>Applied to rework value in the conservative case.</x:v>
      </x:c>
    </x:row>
    <x:row r="8" ht="15" hidden="0" customHeight="1">
      <x:c r="A8" s="10" t="str">
        <x:v>Active labor minutes per case</x:v>
      </x:c>
      <x:c r="B8" s="10" t="n">
        <x:v>35</x:v>
      </x:c>
      <x:c r="C8" s="10" t="str">
        <x:v>Human time, excluding waiting.</x:v>
      </x:c>
      <x:c r="D8" s="10" t="str">
        <x:v>Upside factor</x:v>
      </x:c>
      <x:c r="E8" s="18" t="n">
        <x:v>1.25</x:v>
      </x:c>
      <x:c r="F8" s="10" t="str">
        <x:v>Applied to expected value for upside case.</x:v>
      </x:c>
    </x:row>
    <x:row r="9" ht="15" hidden="0" customHeight="1">
      <x:c r="A9" s="10" t="str">
        <x:v>Fully loaded hourly cost proxy</x:v>
      </x:c>
      <x:c r="B9" s="11" t="n">
        <x:v>68</x:v>
      </x:c>
      <x:c r="C9" s="10" t="str">
        <x:v>Finance-reviewed where possible.</x:v>
      </x:c>
    </x:row>
    <x:row r="10" ht="15" hidden="0" customHeight="1">
      <x:c r="A10" s="10" t="str">
        <x:v>Working weeks per year</x:v>
      </x:c>
      <x:c r="B10" s="10" t="n">
        <x:v>46</x:v>
      </x:c>
      <x:c r="C10" s="10" t="str">
        <x:v>Conservative standard assumption.</x:v>
      </x:c>
    </x:row>
    <x:row r="11" ht="15" hidden="0" customHeight="1">
      <x:c r="A11" s="10" t="str">
        <x:v>Current cycle time days</x:v>
      </x:c>
      <x:c r="B11" s="10" t="n">
        <x:v>2.5</x:v>
      </x:c>
      <x:c r="C11" s="10" t="str">
        <x:v>Start to usable output.</x:v>
      </x:c>
    </x:row>
    <x:row r="12" ht="15" hidden="0" customHeight="1">
      <x:c r="A12" s="10" t="str">
        <x:v>Target cycle time days</x:v>
      </x:c>
      <x:c r="B12" s="10" t="n">
        <x:v>1.25</x:v>
      </x:c>
      <x:c r="C12" s="10" t="str">
        <x:v>Expected after controlled v1.</x:v>
      </x:c>
    </x:row>
    <x:row r="13" ht="15" hidden="0" customHeight="1">
      <x:c r="A13" s="10" t="str">
        <x:v>Expected assist rate</x:v>
      </x:c>
      <x:c r="B13" s="18" t="n">
        <x:v>0.28</x:v>
      </x:c>
      <x:c r="C13" s="10" t="str">
        <x:v>Share of active labor supported by AI.</x:v>
      </x:c>
    </x:row>
    <x:row r="14" ht="15" hidden="0" customHeight="1">
      <x:c r="A14" s="10" t="str">
        <x:v>Adoption rate</x:v>
      </x:c>
      <x:c r="B14" s="18" t="n">
        <x:v>0.65</x:v>
      </x:c>
      <x:c r="C14" s="10" t="str">
        <x:v>Share of workflow actually using the capability.</x:v>
      </x:c>
    </x:row>
    <x:row r="15" ht="15" hidden="0" customHeight="1">
      <x:c r="A15" s="10" t="str">
        <x:v>Rework/error rate</x:v>
      </x:c>
      <x:c r="B15" s="18" t="n">
        <x:v>0.11</x:v>
      </x:c>
      <x:c r="C15" s="10" t="str">
        <x:v>Share needing correction, escalation, or redo.</x:v>
      </x:c>
    </x:row>
    <x:row r="16" ht="15" hidden="0" customHeight="1">
      <x:c r="A16" s="10" t="str">
        <x:v>Rework minutes per case</x:v>
      </x:c>
      <x:c r="B16" s="19" t="n">
        <x:v>18</x:v>
      </x:c>
      <x:c r="C16" s="10" t="str">
        <x:v>Human correction time per rework case.</x:v>
      </x:c>
    </x:row>
    <x:row r="17" ht="15" hidden="0" customHeight="1">
      <x:c r="A17" s="10" t="str">
        <x:v>Quality improvement rate</x:v>
      </x:c>
      <x:c r="B17" s="18" t="n">
        <x:v>0.08</x:v>
      </x:c>
      <x:c r="C17" s="10" t="str">
        <x:v>Expected reduction in rework.</x:v>
      </x:c>
    </x:row>
    <x:row r="18" ht="15" hidden="0" customHeight="1">
      <x:c r="A18" s="10" t="str">
        <x:v>Value per faster case</x:v>
      </x:c>
      <x:c r="B18" s="11" t="n">
        <x:v>0</x:v>
      </x:c>
      <x:c r="C18" s="10" t="str">
        <x:v>Use only if finance accepts speed value.</x:v>
      </x:c>
    </x:row>
    <x:row r="19" ht="15" hidden="0" customHeight="1">
      <x:c r="A19" s="10" t="str">
        <x:v>Annual revenue value</x:v>
      </x:c>
      <x:c r="B19" s="11" t="n">
        <x:v>0</x:v>
      </x:c>
      <x:c r="C19" s="10" t="str">
        <x:v>Use only when accepted by revenue owner.</x:v>
      </x:c>
    </x:row>
    <x:row r="20" ht="15" hidden="0" customHeight="1">
      <x:c r="A20" s="10" t="str">
        <x:v>Annual risk/control value</x:v>
      </x:c>
      <x:c r="B20" s="11" t="n">
        <x:v>0</x:v>
      </x:c>
      <x:c r="C20" s="10" t="str">
        <x:v>Use only when accepted by compliance/finance.</x:v>
      </x:c>
    </x:row>
    <x:row r="21" ht="15" hidden="0" customHeight="1">
      <x:c r="A21" s="10" t="str">
        <x:v>Finance validation</x:v>
      </x:c>
      <x:c r="B21" s="10" t="str">
        <x:v>Proxy only</x:v>
      </x:c>
      <x:c r="C21" s="10" t="str">
        <x:v>Use Finance-reviewed only after CFO/finance signoff.</x:v>
      </x:c>
    </x:row>
    <x:row r="22"/>
    <x:row r="23"/>
    <x:row r="24" ht="15" hidden="0" customHeight="1">
      <x:c r="A24" s="13" t="str">
        <x:v>Output</x:v>
      </x:c>
      <x:c r="B24" s="13" t="str">
        <x:v>Value</x:v>
      </x:c>
      <x:c r="C24" s="13" t="str">
        <x:v>Formula note</x:v>
      </x:c>
    </x:row>
    <x:row r="25" ht="15" hidden="0" customHeight="1">
      <x:c r="A25" s="10" t="str">
        <x:v>Weekly active hours</x:v>
      </x:c>
      <x:c r="B25" s="20" t="n">
        <x:f>B7*B8/60</x:f>
        <x:v>70</x:v>
      </x:c>
      <x:c r="C25" s="10" t="str">
        <x:v>Volume per week * active labor minutes / 60.</x:v>
      </x:c>
    </x:row>
    <x:row r="26" ht="24" hidden="0" customHeight="1">
      <x:c r="A26" s="10" t="str">
        <x:v>Weekly capacity released hours</x:v>
      </x:c>
      <x:c r="B26" s="20" t="n">
        <x:f>B25*B13*B14</x:f>
        <x:v>12.740000000000002</x:v>
      </x:c>
      <x:c r="C26" s="10" t="str">
        <x:v>Weekly active hours * expected assist rate * adoption rate.</x:v>
      </x:c>
    </x:row>
    <x:row r="27" ht="24" hidden="0" customHeight="1">
      <x:c r="A27" s="10" t="str">
        <x:v>Conservative annual value</x:v>
      </x:c>
      <x:c r="B27" s="11" t="n">
        <x:f>(B26*B9*B10*$E$6)+((B7*B10)*B15*(B16/60)*B9*B17*$E$7)+(B7*B10*B18)+B19+B20</x:f>
        <x:v>28390.979200000005</x:v>
      </x:c>
      <x:c r="C27" s="10" t="str">
        <x:v>Capacity and rework value multiplied by visible conservative factors, plus accepted direct values.</x:v>
      </x:c>
    </x:row>
    <x:row r="28" ht="24" hidden="0" customHeight="1">
      <x:c r="A28" s="10" t="str">
        <x:v>Expected annual value</x:v>
      </x:c>
      <x:c r="B28" s="11" t="n">
        <x:f>(B26*B9*B10)+((B7*B10)*B15*(B16/60)*B9*B17)+(B7*B10*B18)+B19+B20</x:f>
        <x:v>40841.67040000001</x:v>
      </x:c>
      <x:c r="C28" s="10" t="str">
        <x:v>Capacity, rework, speed, revenue, and risk/control value.</x:v>
      </x:c>
    </x:row>
    <x:row r="29" ht="15" hidden="0" customHeight="1">
      <x:c r="A29" s="10" t="str">
        <x:v>Upside annual value</x:v>
      </x:c>
      <x:c r="B29" s="11" t="n">
        <x:f>B28*$E$8</x:f>
        <x:v>51052.08800000001</x:v>
      </x:c>
      <x:c r="C29" s="10" t="str">
        <x:v>Expected value multiplied by visible upside factor.</x:v>
      </x:c>
    </x:row>
    <x:row r="30" ht="15" hidden="0" customHeight="1">
      <x:c r="A30" s="10" t="str">
        <x:v>Cycle-time reduction</x:v>
      </x:c>
      <x:c r="B30" s="21" t="n">
        <x:f>B11-B12</x:f>
        <x:v>1.25</x:v>
      </x:c>
      <x:c r="C30" s="10" t="str">
        <x:v>Current cycle time minus target cycle time.</x:v>
      </x:c>
    </x:row>
    <x:row r="31" ht="24" hidden="0" customHeight="1">
      <x:c r="A31" s="10" t="str">
        <x:v>Finance status</x:v>
      </x:c>
      <x:c r="B31" s="10" t="str">
        <x:f>B21</x:f>
        <x:v>Proxy only</x:v>
      </x:c>
      <x:c r="C31" s="10" t="str">
        <x:v>Proxy remains proxy until finance validates assumptions.</x:v>
      </x:c>
    </x:row>
    <x:row r="32" ht="15" hidden="0" customHeight="1">
      <x:c r="A32" s="10" t="str">
        <x:v>Recommended value language</x:v>
      </x:c>
      <x:c r="B32" s="10" t="str">
        <x:f>"Conservative: "&amp;TEXT(B27,"€#,##0")&amp;"; Expected: "&amp;TEXT(B28,"€#,##0")&amp;"; Status: "&amp;B21&amp;"."</x:f>
        <x:v>Conservative: €28,391; Expected: €40,842; Status: Proxy only.</x:v>
      </x:c>
      <x:c r="C32" s="10" t="str"/>
    </x:row>
    <x:row r="33"/>
    <x:row r="34"/>
    <x:row r="35" ht="15" hidden="0" customHeight="1">
      <x:c r="A35" s="13" t="str">
        <x:v>Scenario</x:v>
      </x:c>
      <x:c r="B35" s="13" t="str">
        <x:v>Assist rate</x:v>
      </x:c>
      <x:c r="C35" s="13" t="str">
        <x:v>Quality improvement</x:v>
      </x:c>
      <x:c r="D35" s="13" t="str">
        <x:v>Adoption</x:v>
      </x:c>
      <x:c r="E35" s="13" t="str">
        <x:v>Confidence</x:v>
      </x:c>
      <x:c r="F35" s="13" t="str">
        <x:v>Use in readout</x:v>
      </x:c>
    </x:row>
    <x:row r="36" ht="24" hidden="0" customHeight="1">
      <x:c r="A36" s="10" t="str">
        <x:v>Conservative</x:v>
      </x:c>
      <x:c r="B36" s="10" t="str">
        <x:v>10-15%</x:v>
      </x:c>
      <x:c r="C36" s="10" t="str">
        <x:v>0-5%</x:v>
      </x:c>
      <x:c r="D36" s="10" t="str">
        <x:v>50-60%</x:v>
      </x:c>
      <x:c r="E36" s="10" t="str">
        <x:v>High</x:v>
      </x:c>
      <x:c r="F36" s="10" t="str">
        <x:v>Lead with this unless finance approves stronger assumptions.</x:v>
      </x:c>
    </x:row>
    <x:row r="37" ht="24" hidden="0" customHeight="1">
      <x:c r="A37" s="10" t="str">
        <x:v>Expected</x:v>
      </x:c>
      <x:c r="B37" s="10" t="str">
        <x:v>20-35%</x:v>
      </x:c>
      <x:c r="C37" s="10" t="str">
        <x:v>5-15%</x:v>
      </x:c>
      <x:c r="D37" s="10" t="str">
        <x:v>60-80%</x:v>
      </x:c>
      <x:c r="E37" s="10" t="str">
        <x:v>Medium</x:v>
      </x:c>
      <x:c r="F37" s="10" t="str">
        <x:v>Use as operating case with dependencies named.</x:v>
      </x:c>
    </x:row>
    <x:row r="38" ht="24" hidden="0" customHeight="1">
      <x:c r="A38" s="10" t="str">
        <x:v>Upside</x:v>
      </x:c>
      <x:c r="B38" s="10" t="str">
        <x:v>35-50%</x:v>
      </x:c>
      <x:c r="C38" s="10" t="str">
        <x:v>15-25%</x:v>
      </x:c>
      <x:c r="D38" s="10" t="str">
        <x:v>80%+</x:v>
      </x:c>
      <x:c r="E38" s="10" t="str">
        <x:v>Low until proven</x:v>
      </x:c>
      <x:c r="F38" s="10" t="str">
        <x:v>Appendix only unless evidence is strong.</x:v>
      </x:c>
    </x:row>
  </x:sheetData>
  <x:mergeCells>
    <x:mergeCell ref="A1:F1"/>
    <x:mergeCell ref="A2:F2"/>
    <x:mergeCell ref="B32:C32"/>
  </x:mergeCells>
  <x:dataValidations count="1">
    <x:dataValidation type="list" sqref="B21">
      <x:formula1>"Proxy only,Finance-reviewed"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.780000686645508" hidden="0" customWidth="1"/>
    <x:col min="3" max="3" width="16.670000076293945" hidden="0" customWidth="1"/>
    <x:col min="4" max="4" width="11.109999656677246" hidden="0" customWidth="1"/>
    <x:col min="5" max="5" width="28.889999389648438" hidden="0" customWidth="1"/>
    <x:col min="6" max="6" width="12.779999732971191" hidden="0" customWidth="1"/>
  </x:cols>
  <x:sheetData>
    <x:row r="1" ht="24" hidden="0" customHeight="1">
      <x:c r="A1" s="2" t="str">
        <x:v>NovaOrbit Action Plan</x:v>
      </x:c>
    </x:row>
    <x:row r="2" ht="15" hidden="0" customHeight="1">
      <x:c r="A2" s="4" t="str">
        <x:v>Convert missing evidence into definitive next actions for the client and Nova Nuggets.</x:v>
      </x:c>
    </x:row>
    <x:row r="3"/>
    <x:row r="4"/>
    <x:row r="5" ht="15" hidden="0" customHeight="1">
      <x:c r="A5" s="13" t="str">
        <x:v>Gate</x:v>
      </x:c>
      <x:c r="B5" s="13" t="str">
        <x:v>Action</x:v>
      </x:c>
      <x:c r="C5" s="13" t="str">
        <x:v>Owner</x:v>
      </x:c>
      <x:c r="D5" s="13" t="str">
        <x:v>Timing</x:v>
      </x:c>
      <x:c r="E5" s="13" t="str">
        <x:v>Evidence Produced</x:v>
      </x:c>
      <x:c r="F5" s="13" t="str">
        <x:v>Status</x:v>
      </x:c>
    </x:row>
    <x:row r="6" ht="15" hidden="0" customHeight="1">
      <x:c r="A6" s="10" t="str">
        <x:v>W1</x:v>
      </x:c>
      <x:c r="B6" s="10" t="str">
        <x:v>Confirm deployment boundary</x:v>
      </x:c>
      <x:c r="C6" s="10" t="str">
        <x:v>CTO / IT</x:v>
      </x:c>
      <x:c r="D6" s="10" t="str">
        <x:v>Week 1</x:v>
      </x:c>
      <x:c r="E6" s="10" t="str">
        <x:v>Architecture note and decision owner</x:v>
      </x:c>
      <x:c r="F6" s="10" t="str">
        <x:v>Open</x:v>
      </x:c>
    </x:row>
    <x:row r="7" ht="24" hidden="0" customHeight="1">
      <x:c r="A7" s="10" t="str">
        <x:v>W3</x:v>
      </x:c>
      <x:c r="B7" s="10" t="str">
        <x:v>Validate SAP/API/export/manual upload path</x:v>
      </x:c>
      <x:c r="C7" s="10" t="str">
        <x:v>IT / system owner</x:v>
      </x:c>
      <x:c r="D7" s="10" t="str">
        <x:v>Week 1</x:v>
      </x:c>
      <x:c r="E7" s="10" t="str">
        <x:v>Least-privilege access decision</x:v>
      </x:c>
      <x:c r="F7" s="10" t="str">
        <x:v>Open</x:v>
      </x:c>
    </x:row>
    <x:row r="8" ht="24" hidden="0" customHeight="1">
      <x:c r="A8" s="10" t="str">
        <x:v>A2</x:v>
      </x:c>
      <x:c r="B8" s="10" t="str">
        <x:v>Create quote output evaluation set</x:v>
      </x:c>
      <x:c r="C8" s="10" t="str">
        <x:v>Workflow owner</x:v>
      </x:c>
      <x:c r="D8" s="10" t="str">
        <x:v>Week 1-2</x:v>
      </x:c>
      <x:c r="E8" s="10" t="str">
        <x:v>Gold-standard RFQs and accepted quote criteria</x:v>
      </x:c>
      <x:c r="F8" s="10" t="str">
        <x:v>Open</x:v>
      </x:c>
    </x:row>
    <x:row r="9" ht="24" hidden="0" customHeight="1">
      <x:c r="A9" s="10" t="str">
        <x:v>H2</x:v>
      </x:c>
      <x:c r="B9" s="10" t="str">
        <x:v>Finance-validate baseline and proxy value</x:v>
      </x:c>
      <x:c r="C9" s="10" t="str">
        <x:v>CFO / finance</x:v>
      </x:c>
      <x:c r="D9" s="10" t="str">
        <x:v>Week 2</x:v>
      </x:c>
      <x:c r="E9" s="10" t="str">
        <x:v>Reviewed volume, cost, quality, and speed assumptions</x:v>
      </x:c>
      <x:c r="F9" s="10" t="str">
        <x:v>Open</x:v>
      </x:c>
    </x:row>
    <x:row r="10" ht="24" hidden="0" customHeight="1">
      <x:c r="A10" s="10" t="str">
        <x:v>RG5</x:v>
      </x:c>
      <x:c r="B10" s="10" t="str">
        <x:v>Define reliability and autonomy cap</x:v>
      </x:c>
      <x:c r="C10" s="10" t="str">
        <x:v>Security / workflow owner</x:v>
      </x:c>
      <x:c r="D10" s="10" t="str">
        <x:v>Week 2</x:v>
      </x:c>
      <x:c r="E10" s="10" t="str">
        <x:v>Test, monitoring, fallback, and approval rules</x:v>
      </x:c>
      <x:c r="F10" s="10" t="str">
        <x:v>Open</x:v>
      </x:c>
    </x:row>
    <x:row r="11" ht="24" hidden="0" customHeight="1">
      <x:c r="A11" s="10" t="str">
        <x:v>Next</x:v>
      </x:c>
      <x:c r="B11" s="10" t="str">
        <x:v>Decide implementation path</x:v>
      </x:c>
      <x:c r="C11" s="10" t="str">
        <x:v>Client sponsor</x:v>
      </x:c>
      <x:c r="D11" s="10" t="str">
        <x:v>Readout</x:v>
      </x:c>
      <x:c r="E11" s="10" t="str">
        <x:v>Standard output or In-Depth SOW decision</x:v>
      </x:c>
      <x:c r="F11" s="10" t="str">
        <x:v>Open</x:v>
      </x:c>
    </x:row>
    <x:row r="12"/>
    <x:row r="13"/>
    <x:row r="14" ht="15" hidden="0" customHeight="1">
      <x:c r="A14" s="6" t="str">
        <x:v>Readout acceptance criteria</x:v>
      </x:c>
      <x:c r="B14" s="6" t="str"/>
      <x:c r="C14" s="6" t="str"/>
      <x:c r="D14" s="6" t="str"/>
      <x:c r="E14" s="6" t="str"/>
      <x:c r="F14" s="6" t="str"/>
    </x:row>
    <x:row r="15" ht="15" hidden="0" customHeight="1">
      <x:c r="A15" s="10" t="str">
        <x:v>1</x:v>
      </x:c>
      <x:c r="B15" s="10" t="str">
        <x:v>What stage are we in?</x:v>
      </x:c>
      <x:c r="C15" s="10" t="str">
        <x:v>Dashboard final stage</x:v>
      </x:c>
      <x:c r="D15" s="10" t="str"/>
      <x:c r="E15" s="10" t="str"/>
      <x:c r="F15" s="10" t="str"/>
    </x:row>
    <x:row r="16" ht="15" hidden="0" customHeight="1">
      <x:c r="A16" s="10" t="str">
        <x:v>2</x:v>
      </x:c>
      <x:c r="B16" s="10" t="str">
        <x:v>What caps maturity?</x:v>
      </x:c>
      <x:c r="C16" s="10" t="str">
        <x:v>Red Gates effective cap</x:v>
      </x:c>
      <x:c r="D16" s="10" t="str"/>
      <x:c r="E16" s="10" t="str"/>
      <x:c r="F16" s="10" t="str"/>
    </x:row>
    <x:row r="17" ht="24" hidden="0" customHeight="1">
      <x:c r="A17" s="10" t="str">
        <x:v>3</x:v>
      </x:c>
      <x:c r="B17" s="10" t="str">
        <x:v>Which workflow should go first?</x:v>
      </x:c>
      <x:c r="C17" s="10" t="str">
        <x:v>Dashboard first workflow</x:v>
      </x:c>
      <x:c r="D17" s="10" t="str"/>
      <x:c r="E17" s="10" t="str"/>
      <x:c r="F17" s="10" t="str"/>
    </x:row>
    <x:row r="18" ht="15" hidden="0" customHeight="1">
      <x:c r="A18" s="10" t="str">
        <x:v>4</x:v>
      </x:c>
      <x:c r="B18" s="10" t="str">
        <x:v>Where will it run?</x:v>
      </x:c>
      <x:c r="C18" s="10" t="str">
        <x:v>Deployment direction</x:v>
      </x:c>
      <x:c r="D18" s="10" t="str"/>
      <x:c r="E18" s="10" t="str"/>
      <x:c r="F18" s="10" t="str"/>
    </x:row>
    <x:row r="19" ht="15" hidden="0" customHeight="1">
      <x:c r="A19" s="10" t="str">
        <x:v>5</x:v>
      </x:c>
      <x:c r="B19" s="10" t="str">
        <x:v>What AI app or agent should be built?</x:v>
      </x:c>
      <x:c r="C19" s="10" t="str">
        <x:v>Scorecard A2/A3/A4</x:v>
      </x:c>
      <x:c r="D19" s="10" t="str"/>
      <x:c r="E19" s="10" t="str"/>
      <x:c r="F19" s="10" t="str"/>
    </x:row>
    <x:row r="20" ht="24" hidden="0" customHeight="1">
      <x:c r="A20" s="10" t="str">
        <x:v>6</x:v>
      </x:c>
      <x:c r="B20" s="10" t="str">
        <x:v>Who owns the outcome?</x:v>
      </x:c>
      <x:c r="C20" s="10" t="str">
        <x:v>Scorecard H1 and Action Plan</x:v>
      </x:c>
      <x:c r="D20" s="10" t="str"/>
      <x:c r="E20" s="10" t="str"/>
      <x:c r="F20" s="10" t="str"/>
    </x:row>
    <x:row r="21" ht="24" hidden="0" customHeight="1">
      <x:c r="A21" s="10" t="str">
        <x:v>7</x:v>
      </x:c>
      <x:c r="B21" s="10" t="str">
        <x:v>What metric proves value?</x:v>
      </x:c>
      <x:c r="C21" s="10" t="str">
        <x:v>Workflow ROI and evidence plan</x:v>
      </x:c>
      <x:c r="D21" s="10" t="str"/>
      <x:c r="E21" s="10" t="str"/>
      <x:c r="F21" s="10" t="str"/>
    </x:row>
    <x:row r="22" ht="24" hidden="0" customHeight="1">
      <x:c r="A22" s="10" t="str">
        <x:v>8</x:v>
      </x:c>
      <x:c r="B22" s="10" t="str">
        <x:v>What are the first 30/60/90-day actions?</x:v>
      </x:c>
      <x:c r="C22" s="10" t="str">
        <x:v>Action Plan and report template</x:v>
      </x:c>
      <x:c r="D22" s="10" t="str"/>
      <x:c r="E22" s="10" t="str"/>
      <x:c r="F22" s="10" t="str"/>
    </x:row>
    <x:row r="23" ht="15" hidden="0" customHeight="1">
      <x:c r="A23" s="10" t="str">
        <x:v>9</x:v>
      </x:c>
      <x:c r="B23" s="10" t="str">
        <x:v>What is the commercial next step?</x:v>
      </x:c>
      <x:c r="C23" s="10" t="str">
        <x:v>Dashboard decision</x:v>
      </x:c>
      <x:c r="D23" s="10" t="str"/>
      <x:c r="E23" s="10" t="str"/>
      <x:c r="F23" s="10" t="str"/>
    </x:row>
  </x:sheetData>
  <x:mergeCells>
    <x:mergeCell ref="A1:F1"/>
    <x:mergeCell ref="A2:F2"/>
    <x:mergeCell ref="A14:F14"/>
  </x:mergeCells>
  <x:conditionalFormatting sqref="F6:F11">
    <x:cfRule type="containsText" dxfId="3" priority="1" operator="containsText" text="Done"/>
    <x:cfRule type="containsText" dxfId="4" priority="2" operator="containsText" text="Blocked"/>
  </x:conditionalFormatting>
  <x:dataValidations count="1">
    <x:dataValidation type="list" sqref="F6:F11">
      <x:formula1>"Open,In progress,Done,Blocked"</x:formula1>
    </x:dataValidation>
  </x:dataValidations>
  <x:pageMargins left="0.7" right="0.7" top="0.75" bottom="0.75" header="0.3" footer="0.3"/>
</x:worksheet>
</file>